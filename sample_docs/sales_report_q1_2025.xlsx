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區" sheetId="1" state="visible" r:id="rId1"/>
    <sheet xmlns:r="http://schemas.openxmlformats.org/officeDocument/2006/relationships" name="南區" sheetId="2" state="visible" r:id="rId2"/>
    <sheet xmlns:r="http://schemas.openxmlformats.org/officeDocument/2006/relationships" name="總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台灣科技集團股份有限公司 — 北區 Q1 2025 銷售報表</t>
        </is>
      </c>
    </row>
    <row r="2">
      <c r="A2" s="2" t="inlineStr">
        <is>
          <t>產品線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季度合計</t>
        </is>
      </c>
      <c r="F2" s="2" t="inlineStr">
        <is>
          <t>YoY成長%</t>
        </is>
      </c>
    </row>
    <row r="3">
      <c r="A3" s="3" t="inlineStr">
        <is>
          <t>企業軟體</t>
        </is>
      </c>
      <c r="B3" s="4" t="n">
        <v>4820000</v>
      </c>
      <c r="C3" s="4" t="n">
        <v>5110000</v>
      </c>
      <c r="D3" s="4" t="n">
        <v>5390000</v>
      </c>
      <c r="E3" s="4" t="n">
        <v>15320000</v>
      </c>
      <c r="F3" s="5" t="n">
        <v>12.4</v>
      </c>
    </row>
    <row r="4">
      <c r="A4" t="inlineStr">
        <is>
          <t>雲端服務</t>
        </is>
      </c>
      <c r="B4" s="6" t="n">
        <v>3200000</v>
      </c>
      <c r="C4" s="6" t="n">
        <v>3450000</v>
      </c>
      <c r="D4" s="6" t="n">
        <v>3780000</v>
      </c>
      <c r="E4" s="6" t="n">
        <v>10430000</v>
      </c>
      <c r="F4" s="7" t="n">
        <v>18.6</v>
      </c>
    </row>
    <row r="5">
      <c r="A5" s="3" t="inlineStr">
        <is>
          <t>資安解決方案</t>
        </is>
      </c>
      <c r="B5" s="4" t="n">
        <v>1950000</v>
      </c>
      <c r="C5" s="4" t="n">
        <v>2100000</v>
      </c>
      <c r="D5" s="4" t="n">
        <v>2350000</v>
      </c>
      <c r="E5" s="4" t="n">
        <v>6400000</v>
      </c>
      <c r="F5" s="5" t="n">
        <v>22.1</v>
      </c>
    </row>
    <row r="6">
      <c r="A6" t="inlineStr">
        <is>
          <t>硬體設備</t>
        </is>
      </c>
      <c r="B6" s="6" t="n">
        <v>2680000</v>
      </c>
      <c r="C6" s="6" t="n">
        <v>2510000</v>
      </c>
      <c r="D6" s="6" t="n">
        <v>2890000</v>
      </c>
      <c r="E6" s="6" t="n">
        <v>8080000</v>
      </c>
      <c r="F6" s="7" t="n">
        <v>5.3</v>
      </c>
    </row>
    <row r="7">
      <c r="A7" s="3" t="inlineStr">
        <is>
          <t>技術顧問</t>
        </is>
      </c>
      <c r="B7" s="4" t="n">
        <v>1120000</v>
      </c>
      <c r="C7" s="4" t="n">
        <v>1230000</v>
      </c>
      <c r="D7" s="4" t="n">
        <v>1340000</v>
      </c>
      <c r="E7" s="4" t="n">
        <v>3690000</v>
      </c>
      <c r="F7" s="5" t="n">
        <v>9.800000000000001</v>
      </c>
    </row>
    <row r="8">
      <c r="A8" t="inlineStr">
        <is>
          <t>維護合約</t>
        </is>
      </c>
      <c r="B8" s="6" t="n">
        <v>880000</v>
      </c>
      <c r="C8" s="6" t="n">
        <v>920000</v>
      </c>
      <c r="D8" s="6" t="n">
        <v>960000</v>
      </c>
      <c r="E8" s="6" t="n">
        <v>2760000</v>
      </c>
      <c r="F8" s="7" t="n">
        <v>7.2</v>
      </c>
    </row>
    <row r="9">
      <c r="A9" s="3" t="inlineStr">
        <is>
          <t>教育訓練</t>
        </is>
      </c>
      <c r="B9" s="4" t="n">
        <v>420000</v>
      </c>
      <c r="C9" s="4" t="n">
        <v>380000</v>
      </c>
      <c r="D9" s="4" t="n">
        <v>450000</v>
      </c>
      <c r="E9" s="4" t="n">
        <v>1250000</v>
      </c>
      <c r="F9" s="5" t="n">
        <v>14.5</v>
      </c>
    </row>
    <row r="10">
      <c r="A10" t="inlineStr">
        <is>
          <t>合計</t>
        </is>
      </c>
      <c r="B10" s="6">
        <f>SUM(B2:B8)</f>
        <v/>
      </c>
      <c r="C10" s="6">
        <f>SUM(C2:C8)</f>
        <v/>
      </c>
      <c r="D10" s="6">
        <f>SUM(D2:D8)</f>
        <v/>
      </c>
      <c r="E10" s="6">
        <f>SUM(E2:E8)</f>
        <v/>
      </c>
      <c r="F10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台灣科技集團股份有限公司 — 南區 Q1 2025 銷售報表</t>
        </is>
      </c>
    </row>
    <row r="2">
      <c r="A2" s="2" t="inlineStr">
        <is>
          <t>產品線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季度合計</t>
        </is>
      </c>
      <c r="F2" s="2" t="inlineStr">
        <is>
          <t>YoY成長%</t>
        </is>
      </c>
    </row>
    <row r="3">
      <c r="A3" s="3" t="inlineStr">
        <is>
          <t>企業軟體</t>
        </is>
      </c>
      <c r="B3" s="4" t="n">
        <v>3100000</v>
      </c>
      <c r="C3" s="4" t="n">
        <v>3280000</v>
      </c>
      <c r="D3" s="4" t="n">
        <v>3560000</v>
      </c>
      <c r="E3" s="4" t="n">
        <v>9940000</v>
      </c>
      <c r="F3" s="5" t="n">
        <v>10.2</v>
      </c>
    </row>
    <row r="4">
      <c r="A4" t="inlineStr">
        <is>
          <t>雲端服務</t>
        </is>
      </c>
      <c r="B4" s="6" t="n">
        <v>2450000</v>
      </c>
      <c r="C4" s="6" t="n">
        <v>2610000</v>
      </c>
      <c r="D4" s="6" t="n">
        <v>2870000</v>
      </c>
      <c r="E4" s="6" t="n">
        <v>7930000</v>
      </c>
      <c r="F4" s="7" t="n">
        <v>16.3</v>
      </c>
    </row>
    <row r="5">
      <c r="A5" s="3" t="inlineStr">
        <is>
          <t>資安解決方案</t>
        </is>
      </c>
      <c r="B5" s="4" t="n">
        <v>1200000</v>
      </c>
      <c r="C5" s="4" t="n">
        <v>1350000</v>
      </c>
      <c r="D5" s="4" t="n">
        <v>1480000</v>
      </c>
      <c r="E5" s="4" t="n">
        <v>4030000</v>
      </c>
      <c r="F5" s="5" t="n">
        <v>19.8</v>
      </c>
    </row>
    <row r="6">
      <c r="A6" t="inlineStr">
        <is>
          <t>硬體設備</t>
        </is>
      </c>
      <c r="B6" s="6" t="n">
        <v>1980000</v>
      </c>
      <c r="C6" s="6" t="n">
        <v>1870000</v>
      </c>
      <c r="D6" s="6" t="n">
        <v>2040000</v>
      </c>
      <c r="E6" s="6" t="n">
        <v>5890000</v>
      </c>
      <c r="F6" s="7" t="n">
        <v>4.1</v>
      </c>
    </row>
    <row r="7">
      <c r="A7" s="3" t="inlineStr">
        <is>
          <t>技術顧問</t>
        </is>
      </c>
      <c r="B7" s="4" t="n">
        <v>760000</v>
      </c>
      <c r="C7" s="4" t="n">
        <v>820000</v>
      </c>
      <c r="D7" s="4" t="n">
        <v>890000</v>
      </c>
      <c r="E7" s="4" t="n">
        <v>2470000</v>
      </c>
      <c r="F7" s="5" t="n">
        <v>8.5</v>
      </c>
    </row>
    <row r="8">
      <c r="A8" t="inlineStr">
        <is>
          <t>維護合約</t>
        </is>
      </c>
      <c r="B8" s="6" t="n">
        <v>640000</v>
      </c>
      <c r="C8" s="6" t="n">
        <v>670000</v>
      </c>
      <c r="D8" s="6" t="n">
        <v>710000</v>
      </c>
      <c r="E8" s="6" t="n">
        <v>2020000</v>
      </c>
      <c r="F8" s="7" t="n">
        <v>6.4</v>
      </c>
    </row>
    <row r="9">
      <c r="A9" s="3" t="inlineStr">
        <is>
          <t>教育訓練</t>
        </is>
      </c>
      <c r="B9" s="4" t="n">
        <v>310000</v>
      </c>
      <c r="C9" s="4" t="n">
        <v>290000</v>
      </c>
      <c r="D9" s="4" t="n">
        <v>340000</v>
      </c>
      <c r="E9" s="4" t="n">
        <v>940000</v>
      </c>
      <c r="F9" s="5" t="n">
        <v>11.2</v>
      </c>
    </row>
    <row r="10">
      <c r="A10" t="inlineStr">
        <is>
          <t>合計</t>
        </is>
      </c>
      <c r="B10" s="6">
        <f>SUM(B2:B8)</f>
        <v/>
      </c>
      <c r="C10" s="6">
        <f>SUM(C2:C8)</f>
        <v/>
      </c>
      <c r="D10" s="6">
        <f>SUM(D2:D8)</f>
        <v/>
      </c>
      <c r="E10" s="6">
        <f>SUM(E2:E8)</f>
        <v/>
      </c>
      <c r="F10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台灣科技集團股份有限公司 — 全區 Q1 2025 銷售報表</t>
        </is>
      </c>
    </row>
    <row r="2">
      <c r="A2" s="2" t="inlineStr">
        <is>
          <t>產品線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季度合計</t>
        </is>
      </c>
      <c r="F2" s="2" t="inlineStr">
        <is>
          <t>YoY成長%</t>
        </is>
      </c>
    </row>
    <row r="3">
      <c r="A3" s="3" t="inlineStr">
        <is>
          <t>企業軟體</t>
        </is>
      </c>
      <c r="B3" s="3" t="n">
        <v>7920000</v>
      </c>
      <c r="C3" s="3" t="n">
        <v>8390000</v>
      </c>
      <c r="D3" s="3" t="n">
        <v>8950000</v>
      </c>
      <c r="E3" s="3" t="n">
        <v>25260000</v>
      </c>
      <c r="F3" s="3" t="n">
        <v>11.3</v>
      </c>
    </row>
    <row r="4">
      <c r="A4" t="inlineStr">
        <is>
          <t>雲端服務</t>
        </is>
      </c>
      <c r="B4" t="n">
        <v>5650000</v>
      </c>
      <c r="C4" t="n">
        <v>6060000</v>
      </c>
      <c r="D4" t="n">
        <v>6650000</v>
      </c>
      <c r="E4" t="n">
        <v>18360000</v>
      </c>
      <c r="F4" t="n">
        <v>17.5</v>
      </c>
    </row>
    <row r="5">
      <c r="A5" s="3" t="inlineStr">
        <is>
          <t>資安解決方案</t>
        </is>
      </c>
      <c r="B5" s="3" t="n">
        <v>3150000</v>
      </c>
      <c r="C5" s="3" t="n">
        <v>3450000</v>
      </c>
      <c r="D5" s="3" t="n">
        <v>3830000</v>
      </c>
      <c r="E5" s="3" t="n">
        <v>10430000</v>
      </c>
      <c r="F5" s="3" t="n">
        <v>21</v>
      </c>
    </row>
    <row r="6">
      <c r="A6" t="inlineStr">
        <is>
          <t>硬體設備</t>
        </is>
      </c>
      <c r="B6" t="n">
        <v>4660000</v>
      </c>
      <c r="C6" t="n">
        <v>4380000</v>
      </c>
      <c r="D6" t="n">
        <v>4930000</v>
      </c>
      <c r="E6" t="n">
        <v>13970000</v>
      </c>
      <c r="F6" t="n">
        <v>4.7</v>
      </c>
    </row>
    <row r="7">
      <c r="A7" s="3" t="inlineStr">
        <is>
          <t>技術顧問</t>
        </is>
      </c>
      <c r="B7" s="3" t="n">
        <v>1880000</v>
      </c>
      <c r="C7" s="3" t="n">
        <v>2050000</v>
      </c>
      <c r="D7" s="3" t="n">
        <v>2230000</v>
      </c>
      <c r="E7" s="3" t="n">
        <v>6160000</v>
      </c>
      <c r="F7" s="3" t="n">
        <v>9.199999999999999</v>
      </c>
    </row>
    <row r="8">
      <c r="A8" t="inlineStr">
        <is>
          <t>維護合約</t>
        </is>
      </c>
      <c r="B8" t="n">
        <v>1520000</v>
      </c>
      <c r="C8" t="n">
        <v>1590000</v>
      </c>
      <c r="D8" t="n">
        <v>1670000</v>
      </c>
      <c r="E8" t="n">
        <v>4780000</v>
      </c>
      <c r="F8" t="n">
        <v>6.8</v>
      </c>
    </row>
    <row r="9">
      <c r="A9" s="3" t="inlineStr">
        <is>
          <t>教育訓練</t>
        </is>
      </c>
      <c r="B9" s="3" t="n">
        <v>730000</v>
      </c>
      <c r="C9" s="3" t="n">
        <v>670000</v>
      </c>
      <c r="D9" s="3" t="n">
        <v>790000</v>
      </c>
      <c r="E9" s="3" t="n">
        <v>2190000</v>
      </c>
      <c r="F9" s="3" t="n">
        <v>12.8</v>
      </c>
    </row>
    <row r="10">
      <c r="A10" t="inlineStr">
        <is>
          <t>合計</t>
        </is>
      </c>
      <c r="B10">
        <f>SUM(B2:B8)</f>
        <v/>
      </c>
      <c r="C10">
        <f>SUM(C2:C8)</f>
        <v/>
      </c>
      <c r="D10">
        <f>SUM(D2:D8)</f>
        <v/>
      </c>
      <c r="E10">
        <f>SUM(E2:E8)</f>
        <v/>
      </c>
      <c r="F1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2026-04-09T13:13:14Z</dcterms:created>
  <dcterms:modified xmlns:dcterms="http://purl.org/dc/terms/" xmlns:xsi="http://www.w3.org/2001/XMLSchema-instance" xsi:type="dcterms:W3CDTF">2026-04-09T13:13:14Z</dcterms:modified>
</cp:coreProperties>
</file>