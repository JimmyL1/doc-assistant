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預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2" customWidth="1" min="4" max="4"/>
    <col width="25" customWidth="1" min="5" max="5"/>
    <col width="4" customWidth="1" min="6" max="6"/>
  </cols>
  <sheetData>
    <row r="1">
      <c r="A1" s="1" t="inlineStr">
        <is>
          <t>台灣科技集團股份有限公司 — 2025 Q1 預算執行追蹤</t>
        </is>
      </c>
    </row>
    <row r="2">
      <c r="A2" s="2" t="inlineStr">
        <is>
          <t>項目</t>
        </is>
      </c>
      <c r="B2" s="2" t="inlineStr">
        <is>
          <t>預算</t>
        </is>
      </c>
      <c r="C2" s="2" t="inlineStr">
        <is>
          <t>實際支出</t>
        </is>
      </c>
      <c r="D2" s="2" t="inlineStr">
        <is>
          <t>差異</t>
        </is>
      </c>
      <c r="E2" s="2" t="inlineStr">
        <is>
          <t>差異%</t>
        </is>
      </c>
      <c r="F2" s="2" t="n"/>
    </row>
    <row r="3">
      <c r="A3" s="3" t="inlineStr">
        <is>
          <t>人事費用</t>
        </is>
      </c>
      <c r="B3" s="4" t="n">
        <v>28500000</v>
      </c>
      <c r="C3" s="4" t="n">
        <v>27820000</v>
      </c>
      <c r="D3" s="4" t="n">
        <v>-680000</v>
      </c>
      <c r="E3" s="5" t="n">
        <v>-0.02385964912280702</v>
      </c>
      <c r="F3" s="3" t="n"/>
    </row>
    <row r="4">
      <c r="A4" t="inlineStr">
        <is>
          <t>辦公室租金</t>
        </is>
      </c>
      <c r="B4" s="6" t="n">
        <v>4200000</v>
      </c>
      <c r="C4" s="6" t="n">
        <v>4200000</v>
      </c>
      <c r="D4" s="6" t="n">
        <v>0</v>
      </c>
      <c r="E4" s="7" t="n">
        <v>0</v>
      </c>
    </row>
    <row r="5">
      <c r="A5" s="3" t="inlineStr">
        <is>
          <t>資訊設備採購</t>
        </is>
      </c>
      <c r="B5" s="4" t="n">
        <v>3800000</v>
      </c>
      <c r="C5" s="4" t="n">
        <v>3650000</v>
      </c>
      <c r="D5" s="4" t="n">
        <v>-150000</v>
      </c>
      <c r="E5" s="5" t="n">
        <v>-0.03947368421052631</v>
      </c>
      <c r="F5" s="3" t="n"/>
    </row>
    <row r="6">
      <c r="A6" t="inlineStr">
        <is>
          <t>軟體授權費</t>
        </is>
      </c>
      <c r="B6" s="6" t="n">
        <v>2100000</v>
      </c>
      <c r="C6" s="6" t="n">
        <v>2380000</v>
      </c>
      <c r="D6" s="6" t="n">
        <v>280000</v>
      </c>
      <c r="E6" s="7" t="n">
        <v>0.1333333333333333</v>
      </c>
    </row>
    <row r="7">
      <c r="A7" s="3" t="inlineStr">
        <is>
          <t>行銷推廣費</t>
        </is>
      </c>
      <c r="B7" s="4" t="n">
        <v>1500000</v>
      </c>
      <c r="C7" s="4" t="n">
        <v>1210000</v>
      </c>
      <c r="D7" s="4" t="n">
        <v>-290000</v>
      </c>
      <c r="E7" s="5" t="n">
        <v>-0.1933333333333333</v>
      </c>
      <c r="F7" s="3" t="n"/>
    </row>
    <row r="8">
      <c r="A8" t="inlineStr">
        <is>
          <t>差旅費</t>
        </is>
      </c>
      <c r="B8" s="6" t="n">
        <v>800000</v>
      </c>
      <c r="C8" s="6" t="n">
        <v>920000</v>
      </c>
      <c r="D8" s="6" t="n">
        <v>120000</v>
      </c>
      <c r="E8" s="7" t="n">
        <v>0.15</v>
      </c>
    </row>
    <row r="9">
      <c r="A9" s="3" t="inlineStr">
        <is>
          <t>教育訓練費</t>
        </is>
      </c>
      <c r="B9" s="4" t="n">
        <v>600000</v>
      </c>
      <c r="C9" s="4" t="n">
        <v>480000</v>
      </c>
      <c r="D9" s="4" t="n">
        <v>-120000</v>
      </c>
      <c r="E9" s="5" t="n">
        <v>-0.2</v>
      </c>
      <c r="F9" s="3" t="n"/>
    </row>
    <row r="10">
      <c r="A10" t="inlineStr">
        <is>
          <t>水電費</t>
        </is>
      </c>
      <c r="B10" s="6" t="n">
        <v>350000</v>
      </c>
      <c r="C10" s="6" t="n">
        <v>368000</v>
      </c>
      <c r="D10" s="6" t="n">
        <v>18000</v>
      </c>
      <c r="E10" s="7" t="n">
        <v>0.05142857142857143</v>
      </c>
    </row>
    <row r="11">
      <c r="A11" s="3" t="inlineStr">
        <is>
          <t>清潔維護費</t>
        </is>
      </c>
      <c r="B11" s="4" t="n">
        <v>180000</v>
      </c>
      <c r="C11" s="4" t="n">
        <v>175000</v>
      </c>
      <c r="D11" s="4" t="n">
        <v>-5000</v>
      </c>
      <c r="E11" s="5" t="n">
        <v>-0.02777777777777778</v>
      </c>
      <c r="F11" s="3" t="n"/>
    </row>
    <row r="12">
      <c r="A12" t="inlineStr">
        <is>
          <t>雜支</t>
        </is>
      </c>
      <c r="B12" s="6" t="n">
        <v>220000</v>
      </c>
      <c r="C12" s="6" t="n">
        <v>198000</v>
      </c>
      <c r="D12" s="6" t="n">
        <v>-22000</v>
      </c>
      <c r="E12" s="7" t="n">
        <v>-0.1</v>
      </c>
    </row>
    <row r="13">
      <c r="A13" s="3" t="inlineStr">
        <is>
          <t>合計</t>
        </is>
      </c>
      <c r="B13" s="3">
        <f>SUM(B2:B11)</f>
        <v/>
      </c>
      <c r="C13" s="3">
        <f>IFERROR(SUM(C2:C11),"")</f>
        <v/>
      </c>
      <c r="D13" s="3">
        <f>IFERROR(D2+D3,"")</f>
        <v/>
      </c>
      <c r="E13" s="3" t="inlineStr"/>
      <c r="F13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2" customWidth="1" min="4" max="4"/>
    <col width="25" customWidth="1" min="5" max="5"/>
    <col width="4" customWidth="1" min="6" max="6"/>
  </cols>
  <sheetData>
    <row r="1">
      <c r="A1" s="1" t="inlineStr">
        <is>
          <t>台灣科技集團股份有限公司 — 2025 Q2（預測） 預算執行追蹤</t>
        </is>
      </c>
    </row>
    <row r="2">
      <c r="A2" s="2" t="inlineStr">
        <is>
          <t>項目</t>
        </is>
      </c>
      <c r="B2" s="2" t="inlineStr">
        <is>
          <t>預算</t>
        </is>
      </c>
      <c r="C2" s="2" t="inlineStr">
        <is>
          <t>實際支出</t>
        </is>
      </c>
      <c r="D2" s="2" t="inlineStr">
        <is>
          <t>差異</t>
        </is>
      </c>
      <c r="E2" s="2" t="inlineStr">
        <is>
          <t>差異%</t>
        </is>
      </c>
      <c r="F2" s="2" t="n"/>
    </row>
    <row r="3">
      <c r="A3" s="3" t="inlineStr">
        <is>
          <t>人事費用</t>
        </is>
      </c>
      <c r="B3" s="4" t="n">
        <v>29000000</v>
      </c>
      <c r="C3" s="4" t="n">
        <v>28500000</v>
      </c>
      <c r="D3" s="4" t="n">
        <v>-500000</v>
      </c>
      <c r="E3" s="5" t="n">
        <v>-0.01724137931034483</v>
      </c>
      <c r="F3" s="3" t="n"/>
    </row>
    <row r="4">
      <c r="A4" t="inlineStr">
        <is>
          <t>辦公室租金</t>
        </is>
      </c>
      <c r="B4" s="6" t="n">
        <v>4200000</v>
      </c>
      <c r="C4" s="6" t="n">
        <v>4200000</v>
      </c>
      <c r="D4" s="6" t="n">
        <v>0</v>
      </c>
      <c r="E4" s="7" t="n">
        <v>0</v>
      </c>
    </row>
    <row r="5">
      <c r="A5" s="3" t="inlineStr">
        <is>
          <t>資訊設備採購</t>
        </is>
      </c>
      <c r="B5" s="4" t="n">
        <v>2500000</v>
      </c>
      <c r="C5" s="3" t="inlineStr">
        <is>
          <t>（預測中）</t>
        </is>
      </c>
      <c r="D5" s="3" t="inlineStr"/>
      <c r="E5" s="3" t="inlineStr"/>
      <c r="F5" s="3" t="n"/>
    </row>
    <row r="6">
      <c r="A6" t="inlineStr">
        <is>
          <t>軟體授權費</t>
        </is>
      </c>
      <c r="B6" s="6" t="n">
        <v>1800000</v>
      </c>
      <c r="C6" t="inlineStr">
        <is>
          <t>（預測中）</t>
        </is>
      </c>
      <c r="D6" t="inlineStr"/>
      <c r="E6" t="inlineStr"/>
    </row>
    <row r="7">
      <c r="A7" s="3" t="inlineStr">
        <is>
          <t>行銷推廣費</t>
        </is>
      </c>
      <c r="B7" s="4" t="n">
        <v>2200000</v>
      </c>
      <c r="C7" s="3" t="inlineStr">
        <is>
          <t>（預測中）</t>
        </is>
      </c>
      <c r="D7" s="3" t="inlineStr"/>
      <c r="E7" s="3" t="inlineStr"/>
      <c r="F7" s="3" t="n"/>
    </row>
    <row r="8">
      <c r="A8" t="inlineStr">
        <is>
          <t>差旅費</t>
        </is>
      </c>
      <c r="B8" s="6" t="n">
        <v>900000</v>
      </c>
      <c r="C8" t="inlineStr">
        <is>
          <t>（預測中）</t>
        </is>
      </c>
      <c r="D8" t="inlineStr"/>
      <c r="E8" t="inlineStr"/>
    </row>
    <row r="9">
      <c r="A9" s="3" t="inlineStr">
        <is>
          <t>教育訓練費</t>
        </is>
      </c>
      <c r="B9" s="4" t="n">
        <v>750000</v>
      </c>
      <c r="C9" s="3" t="inlineStr">
        <is>
          <t>（預測中）</t>
        </is>
      </c>
      <c r="D9" s="3" t="inlineStr"/>
      <c r="E9" s="3" t="inlineStr"/>
      <c r="F9" s="3" t="n"/>
    </row>
    <row r="10">
      <c r="A10" t="inlineStr">
        <is>
          <t>水電費</t>
        </is>
      </c>
      <c r="B10" s="6" t="n">
        <v>380000</v>
      </c>
      <c r="C10" t="inlineStr">
        <is>
          <t>（預測中）</t>
        </is>
      </c>
      <c r="D10" t="inlineStr"/>
      <c r="E10" t="inlineStr"/>
    </row>
    <row r="11">
      <c r="A11" s="3" t="inlineStr">
        <is>
          <t>清潔維護費</t>
        </is>
      </c>
      <c r="B11" s="4" t="n">
        <v>180000</v>
      </c>
      <c r="C11" s="3" t="inlineStr">
        <is>
          <t>（預測中）</t>
        </is>
      </c>
      <c r="D11" s="3" t="inlineStr"/>
      <c r="E11" s="3" t="inlineStr"/>
      <c r="F11" s="3" t="n"/>
    </row>
    <row r="12">
      <c r="A12" t="inlineStr">
        <is>
          <t>雜支</t>
        </is>
      </c>
      <c r="B12" s="6" t="n">
        <v>200000</v>
      </c>
      <c r="C12" t="inlineStr">
        <is>
          <t>（預測中）</t>
        </is>
      </c>
      <c r="D12" t="inlineStr"/>
      <c r="E12" t="inlineStr"/>
    </row>
    <row r="13">
      <c r="A13" s="3" t="inlineStr">
        <is>
          <t>合計</t>
        </is>
      </c>
      <c r="B13" s="3">
        <f>SUM(B2:B11)</f>
        <v/>
      </c>
      <c r="C13" s="3">
        <f>IFERROR(SUM(C2:C11),"")</f>
        <v/>
      </c>
      <c r="D13" s="3">
        <f>IFERROR(D2+D3,"")</f>
        <v/>
      </c>
      <c r="E13" s="3" t="inlineStr"/>
      <c r="F13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2026-04-09T13:13:14Z</dcterms:created>
  <dcterms:modified xmlns:dcterms="http://purl.org/dc/terms/" xmlns:xsi="http://www.w3.org/2001/XMLSchema-instance" xsi:type="dcterms:W3CDTF">2026-04-09T13:13:14Z</dcterms:modified>
</cp:coreProperties>
</file>